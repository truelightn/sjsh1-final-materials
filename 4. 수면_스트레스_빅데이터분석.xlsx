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a/Documents/학교/수업자료/"/>
    </mc:Choice>
  </mc:AlternateContent>
  <xr:revisionPtr revIDLastSave="0" documentId="13_ncr:1_{CADBD65E-3824-874A-B905-D1BFB27B2FA8}" xr6:coauthVersionLast="47" xr6:coauthVersionMax="47" xr10:uidLastSave="{00000000-0000-0000-0000-000000000000}"/>
  <bookViews>
    <workbookView xWindow="960" yWindow="600" windowWidth="37420" windowHeight="21000" tabRatio="500" activeTab="4" xr2:uid="{00000000-000D-0000-FFFF-FFFF00000000}"/>
  </bookViews>
  <sheets>
    <sheet name="1_수면시간데이터" sheetId="1" r:id="rId1"/>
    <sheet name="2_학업스트레스데이터" sheetId="2" r:id="rId2"/>
    <sheet name="3_전처리_정규화" sheetId="3" r:id="rId3"/>
    <sheet name="4_꺾은선차트_시각화" sheetId="4" r:id="rId4"/>
    <sheet name="5_상관분석_상관계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" l="1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9" i="3"/>
  <c r="B10" i="5" l="1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0" i="5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E11" i="4"/>
  <c r="D11" i="4"/>
  <c r="C11" i="4"/>
  <c r="B11" i="4"/>
  <c r="A11" i="4"/>
  <c r="E10" i="4"/>
  <c r="D10" i="4"/>
  <c r="C10" i="4"/>
  <c r="B10" i="4"/>
  <c r="A10" i="4"/>
  <c r="E9" i="4"/>
  <c r="D9" i="4"/>
  <c r="C9" i="4"/>
  <c r="B9" i="4"/>
  <c r="A9" i="4"/>
  <c r="E8" i="4"/>
  <c r="D8" i="4"/>
  <c r="C8" i="4"/>
  <c r="B8" i="4"/>
  <c r="A8" i="4"/>
  <c r="E7" i="4"/>
  <c r="D7" i="4"/>
  <c r="C7" i="4"/>
  <c r="B7" i="4"/>
  <c r="A7" i="4"/>
  <c r="E6" i="4"/>
  <c r="D6" i="4"/>
  <c r="C6" i="4"/>
  <c r="B6" i="4"/>
  <c r="A6" i="4"/>
  <c r="E5" i="4"/>
  <c r="D5" i="4"/>
  <c r="C5" i="4"/>
  <c r="B5" i="4"/>
  <c r="A5" i="4"/>
  <c r="E4" i="4"/>
  <c r="D4" i="4"/>
  <c r="C4" i="4"/>
  <c r="B4" i="4"/>
  <c r="A4" i="4"/>
</calcChain>
</file>

<file path=xl/sharedStrings.xml><?xml version="1.0" encoding="utf-8"?>
<sst xmlns="http://schemas.openxmlformats.org/spreadsheetml/2006/main" count="140" uniqueCount="84">
  <si>
    <t>데이터 시각화 — 정규화된 값으로 꺾은선 차트 비교</t>
  </si>
  <si>
    <t xml:space="preserve">표전체 선택 -&gt; [삽입]-[차트]-[꺾은선형] 삽입 </t>
  </si>
  <si>
    <t>고등학생 평일 평균 수면시간 — 시도별 (2023년)</t>
  </si>
  <si>
    <t>출처: 질병관리청 제19차(2023) 청소년건강행태조사  ※ 단위: 시간/일 (고등학생 평일 기준)</t>
  </si>
  <si>
    <t>※ 전국 평균: 5.8시간  (권장 수면시간 8~10시간 대비 현저히 부족)</t>
  </si>
  <si>
    <t>시도</t>
  </si>
  <si>
    <t>평일 평균 수면시간(시간)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</si>
  <si>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</si>
  <si>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</si>
  <si>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</si>
  <si>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</si>
  <si>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</si>
  <si>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</si>
  <si>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</si>
  <si>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</si>
  <si>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</si>
  <si>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</si>
  <si>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</si>
  <si>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</si>
  <si>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</si>
  <si>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</si>
  <si>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</si>
  <si>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</si>
  <si>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</si>
  <si>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고등학생 학업 스트레스 인지율 — 시도별 (2023년)</t>
  </si>
  <si>
    <t>출처: 질병관리청 제19차(2023) 청소년건강행태조사  ※ 단위: % (성적·진로 부담으로 스트레스 인지)</t>
  </si>
  <si>
    <t>※ 전국 평균: 40.3%  스트레스 원인 1위: 성적·진로에 대한 부담(36.1%)</t>
  </si>
  <si>
    <t>학업 스트레스 인지율(%)</t>
  </si>
  <si>
    <t>데이터 전처리 &amp; Min-Max 정규화</t>
  </si>
  <si>
    <t>정규화 공식:  정규화값 = (기준값 − 최솟값) ÷ (최댓값 − 최솟값)    →   결과 범위: 0 ~ 1</t>
  </si>
  <si>
    <t>STEP 1</t>
  </si>
  <si>
    <t>두 데이터 파일을 합칩니다 (시도 기준으로 나란히 붙여넣기)</t>
  </si>
  <si>
    <t>STEP 2</t>
  </si>
  <si>
    <t>정규화된 값을 저장할 D열·E열 제목을 추가합니다</t>
  </si>
  <si>
    <t>STEP 3</t>
  </si>
  <si>
    <t>STEP 4</t>
  </si>
  <si>
    <t>평균 수면시간(시간)</t>
  </si>
  <si>
    <t>학업스트레스(%)</t>
  </si>
  <si>
    <t>수면시간(정규화)</t>
  </si>
  <si>
    <t>학업스트레스(정규화)</t>
  </si>
  <si>
    <t>통계적 분석 — 상관 분석 &amp; 상관 계수</t>
  </si>
  <si>
    <t>분석 도구 설정</t>
  </si>
  <si>
    <t>[파일]-[옵션]-[추가 기능]-[Excel 추가 기능]-[분석 도구] 체크 → [확인]</t>
  </si>
  <si>
    <t>상관 분석 실행</t>
  </si>
  <si>
    <t>입력 범위 설정</t>
  </si>
  <si>
    <t>정규화된 D열·E열 선택 (예: $D$8:$E$25), '첫째 행 이름표 사용' 체크</t>
  </si>
  <si>
    <t>결과 확인</t>
  </si>
  <si>
    <t>정규화 데이터 (CORREL 함수 계산용)</t>
  </si>
  <si>
    <t>📊 피어슨 상관 계수 (CORREL 함수 자동 계산)</t>
  </si>
  <si>
    <t>💡 분석 결과 해석</t>
  </si>
  <si>
    <t>분석 문제</t>
  </si>
  <si>
    <t>수면시간이 부족할수록 학업 스트레스가 높을까?</t>
  </si>
  <si>
    <t>상관 계수(r)</t>
  </si>
  <si>
    <t>해석</t>
  </si>
  <si>
    <t>중간 음(−)의 상관관계</t>
  </si>
  <si>
    <t>의미</t>
  </si>
  <si>
    <t>수면시간이 짧은 시도일수록 학업 스트레스 인지율이 높은 경향</t>
  </si>
  <si>
    <t>주의사항</t>
  </si>
  <si>
    <t>상관관계 ≠ 인과관계 / 도시 집중도, 사교육 밀도 등 제3 변수 가능</t>
  </si>
  <si>
    <t>상관 분석과 상관 계수 해석 기준 (교과서 79p)</t>
  </si>
  <si>
    <t>상관 계수 범위</t>
  </si>
  <si>
    <t>상관관계 정도</t>
  </si>
  <si>
    <t>±0.9 ~ ±1.0</t>
  </si>
  <si>
    <t>매우 강함</t>
  </si>
  <si>
    <t>±0.7 ~ ±0.9</t>
  </si>
  <si>
    <t>강함</t>
  </si>
  <si>
    <t>±0.4 ~ ±0.7</t>
  </si>
  <si>
    <t>상관관계 있음</t>
  </si>
  <si>
    <t>±0.2 ~ ±0.4</t>
  </si>
  <si>
    <t>약함</t>
  </si>
  <si>
    <t>0 ~ ±0.2</t>
  </si>
  <si>
    <t>매우 약함</t>
  </si>
  <si>
    <t>⚠️ 데이터 해석의 오류 주의 (교과서 80p)</t>
  </si>
  <si>
    <t>생존자 편향의 오류</t>
  </si>
  <si>
    <t>일부 데이터만으로 전체를 판단하면 잘못된 결론 가능</t>
  </si>
  <si>
    <t>심슨의 역설</t>
  </si>
  <si>
    <t>학교급(중/고)별 분리 시 추세가 반대로 나타날 수 있음</t>
  </si>
  <si>
    <t>평균의 함정</t>
  </si>
  <si>
    <t>서울·경기 수도권 인구 집중이 평균값에 큰 영향을 줄 수 있음</t>
  </si>
  <si>
    <t>[데이터]-[데이터 분석]-[상관 분석] 선택 → [확인]</t>
    <phoneticPr fontId="3" type="noConversion"/>
  </si>
  <si>
    <t>상관 계수 확인 함수 = CORREL(B10:B26,C10:C26)</t>
    <phoneticPr fontId="3" type="noConversion"/>
  </si>
  <si>
    <t>D열 수면시간 정규화 공식:  =(B9-MIN($B$9:$B$25))/(MAX($B$9:$B$25)-MIN($B$9:$B$25))</t>
    <phoneticPr fontId="3" type="noConversion"/>
  </si>
  <si>
    <t>E열 스트레스 정규화 공식: =(C9-MIN($C$9:$C$25))/(MAX($C$9:$C$25)-MIN($C$9:$C$25))</t>
    <phoneticPr fontId="3" type="noConversion"/>
  </si>
  <si>
    <t xml:space="preserve">상관계수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</si>
</sst>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"/>
    <numFmt numFmtId="178" formatCode="0.0"/>
  </numFmts>
  <fonts count="26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8"/>
      <color rgb="FF000000"/>
      <name val="Noto Sans CJK SC"/>
      <family val="2"/>
    </font>
    <font>
      <sz val="8"/>
      <name val="굴림"/>
      <family val="2"/>
      <charset val="129"/>
    </font>
    <font>
      <sz val="14"/>
      <color rgb="FF000000"/>
      <name val="맑은 고딕"/>
      <family val="2"/>
      <charset val="129"/>
    </font>
    <font>
      <b/>
      <sz val="16"/>
      <color rgb="FFFFFFFF"/>
      <name val="Noto Sans CJK SC"/>
      <family val="2"/>
    </font>
    <font>
      <b/>
      <sz val="16"/>
      <color rgb="FFFFFFFF"/>
      <name val="맑은 고딕"/>
      <family val="2"/>
      <charset val="129"/>
    </font>
    <font>
      <sz val="16"/>
      <color theme="1"/>
      <name val="Calibri"/>
      <family val="2"/>
      <charset val="1"/>
    </font>
    <font>
      <i/>
      <sz val="16"/>
      <color rgb="FF595959"/>
      <name val="Noto Sans CJK SC"/>
      <family val="2"/>
    </font>
    <font>
      <i/>
      <sz val="16"/>
      <color rgb="FFC0392B"/>
      <name val="Noto Sans CJK SC"/>
      <family val="2"/>
    </font>
    <font>
      <b/>
      <sz val="16"/>
      <color rgb="FF000000"/>
      <name val="Noto Sans CJK SC"/>
      <family val="2"/>
    </font>
    <font>
      <sz val="16"/>
      <color rgb="FF000000"/>
      <name val="맑은 고딕"/>
      <family val="2"/>
      <charset val="129"/>
    </font>
    <font>
      <i/>
      <sz val="16"/>
      <color rgb="FF7F0000"/>
      <name val="Noto Sans CJK SC"/>
      <family val="2"/>
    </font>
    <font>
      <b/>
      <sz val="16"/>
      <color rgb="FF1F4E79"/>
      <name val="Noto Sans CJK SC"/>
      <family val="2"/>
    </font>
    <font>
      <sz val="16"/>
      <name val="Noto Sans CJK SC"/>
      <family val="2"/>
    </font>
    <font>
      <sz val="16"/>
      <name val="맑은 고딕"/>
      <family val="2"/>
      <charset val="129"/>
    </font>
    <font>
      <b/>
      <sz val="18"/>
      <color rgb="FFFFFFFF"/>
      <name val="Noto Sans CJK SC"/>
      <family val="2"/>
    </font>
    <font>
      <b/>
      <sz val="18"/>
      <color rgb="FF4A235A"/>
      <name val="맑은 고딕"/>
      <family val="2"/>
      <charset val="129"/>
    </font>
    <font>
      <sz val="18"/>
      <color theme="1"/>
      <name val="Calibri"/>
      <family val="2"/>
      <charset val="1"/>
    </font>
    <font>
      <sz val="18"/>
      <color rgb="FF000000"/>
      <name val="맑은 고딕"/>
      <family val="2"/>
      <charset val="129"/>
    </font>
    <font>
      <sz val="16"/>
      <color theme="1"/>
      <name val="Calibri"/>
      <family val="2"/>
      <charset val="129"/>
    </font>
    <font>
      <sz val="14"/>
      <color theme="1"/>
      <name val="Calibri"/>
      <family val="2"/>
      <charset val="1"/>
    </font>
    <font>
      <sz val="14"/>
      <color rgb="FF000000"/>
      <name val="Noto Sans CJK SC"/>
      <family val="2"/>
    </font>
    <font>
      <b/>
      <sz val="14"/>
      <color rgb="FF7F0000"/>
      <name val="Noto Sans CJK SC"/>
      <family val="2"/>
    </font>
    <font>
      <b/>
      <sz val="14"/>
      <color rgb="FF000000"/>
      <name val="Noto Sans CJK SC"/>
      <family val="2"/>
    </font>
    <font>
      <sz val="14"/>
      <name val="Noto Sans CJK SC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  <bgColor rgb="FF1F618D"/>
      </patternFill>
    </fill>
    <fill>
      <patternFill patternType="solid">
        <fgColor rgb="FFF2F2F2"/>
        <bgColor rgb="FFF5F5F5"/>
      </patternFill>
    </fill>
    <fill>
      <patternFill patternType="solid">
        <fgColor rgb="FFFADBD8"/>
        <bgColor rgb="FFFCE5CD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922B21"/>
        <bgColor rgb="FFC0392B"/>
      </patternFill>
    </fill>
    <fill>
      <patternFill patternType="solid">
        <fgColor rgb="FF1F618D"/>
        <bgColor rgb="FF1F4E79"/>
      </patternFill>
    </fill>
    <fill>
      <patternFill patternType="solid">
        <fgColor rgb="FFD9EAD3"/>
        <bgColor rgb="FFD5F5E3"/>
      </patternFill>
    </fill>
    <fill>
      <patternFill patternType="solid">
        <fgColor rgb="FFCFE2F3"/>
        <bgColor rgb="FFD5D8DC"/>
      </patternFill>
    </fill>
    <fill>
      <patternFill patternType="solid">
        <fgColor rgb="FFFCE5CD"/>
        <bgColor rgb="FFFADBD8"/>
      </patternFill>
    </fill>
    <fill>
      <patternFill patternType="solid">
        <fgColor rgb="FFEAD1DC"/>
        <bgColor rgb="FFD9D9D9"/>
      </patternFill>
    </fill>
    <fill>
      <patternFill patternType="solid">
        <fgColor rgb="FFF5F5F5"/>
        <bgColor rgb="FFF2F2F2"/>
      </patternFill>
    </fill>
    <fill>
      <patternFill patternType="solid">
        <fgColor rgb="FF633974"/>
        <bgColor rgb="FF7D3C98"/>
      </patternFill>
    </fill>
    <fill>
      <patternFill patternType="solid">
        <fgColor rgb="FFF5EEF8"/>
        <bgColor rgb="FFF2F2F2"/>
      </patternFill>
    </fill>
    <fill>
      <patternFill patternType="solid">
        <fgColor rgb="FF1E5631"/>
        <bgColor rgb="FF2E4057"/>
      </patternFill>
    </fill>
    <fill>
      <patternFill patternType="solid">
        <fgColor rgb="FF27AE60"/>
        <bgColor rgb="FF1ABC9C"/>
      </patternFill>
    </fill>
    <fill>
      <patternFill patternType="solid">
        <fgColor rgb="FFE9F7EF"/>
        <bgColor rgb="FFE8F8E8"/>
      </patternFill>
    </fill>
    <fill>
      <patternFill patternType="solid">
        <fgColor rgb="FFD5F5E3"/>
        <bgColor rgb="FFD9EAD3"/>
      </patternFill>
    </fill>
    <fill>
      <patternFill patternType="solid">
        <fgColor rgb="FFE8F8E8"/>
        <bgColor rgb="FFE9F7EF"/>
      </patternFill>
    </fill>
    <fill>
      <patternFill patternType="solid">
        <fgColor rgb="FFFAFAFA"/>
        <bgColor rgb="FFFFFFFF"/>
      </patternFill>
    </fill>
    <fill>
      <patternFill patternType="solid">
        <fgColor rgb="FF2E4057"/>
        <bgColor rgb="FF1F4E79"/>
      </patternFill>
    </fill>
    <fill>
      <patternFill patternType="solid">
        <fgColor rgb="FF1ABC9C"/>
        <bgColor rgb="FF27AE60"/>
      </patternFill>
    </fill>
    <fill>
      <patternFill patternType="solid">
        <fgColor rgb="FF82E0AA"/>
        <bgColor rgb="FFCCCCCC"/>
      </patternFill>
    </fill>
    <fill>
      <patternFill patternType="solid">
        <fgColor rgb="FFFAD7A0"/>
        <bgColor rgb="FFFCE5CD"/>
      </patternFill>
    </fill>
    <fill>
      <patternFill patternType="solid">
        <fgColor rgb="FFD5D8DC"/>
        <bgColor rgb="FFD9D9D9"/>
      </patternFill>
    </fill>
    <fill>
      <patternFill patternType="solid">
        <fgColor rgb="FFFEF9E7"/>
        <bgColor rgb="FFFAFAFA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78" fontId="11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78" fontId="11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78" fontId="11" fillId="4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6" fillId="1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76" fontId="19" fillId="6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76" fontId="19" fillId="13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/>
    </xf>
    <xf numFmtId="0" fontId="5" fillId="17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21" fillId="0" borderId="0" xfId="0" applyFont="1"/>
    <xf numFmtId="0" fontId="1" fillId="22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 wrapText="1"/>
    </xf>
    <xf numFmtId="0" fontId="22" fillId="23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0" fontId="22" fillId="24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22" fillId="25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/>
    </xf>
    <xf numFmtId="0" fontId="22" fillId="26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left" vertical="center" wrapText="1"/>
    </xf>
    <xf numFmtId="0" fontId="5" fillId="16" borderId="0" xfId="0" applyFont="1" applyFill="1" applyAlignment="1">
      <alignment horizontal="center" vertical="center" wrapText="1"/>
    </xf>
    <xf numFmtId="0" fontId="7" fillId="0" borderId="0" xfId="0" applyFont="1"/>
    <xf numFmtId="0" fontId="15" fillId="18" borderId="2" xfId="0" applyFont="1" applyFill="1" applyBorder="1" applyAlignment="1">
      <alignment horizontal="left" vertical="center" wrapText="1"/>
    </xf>
    <xf numFmtId="0" fontId="7" fillId="0" borderId="3" xfId="0" applyFont="1" applyBorder="1"/>
    <xf numFmtId="0" fontId="14" fillId="21" borderId="2" xfId="0" applyFont="1" applyFill="1" applyBorder="1" applyAlignment="1">
      <alignment horizontal="left" vertical="center" wrapText="1"/>
    </xf>
    <xf numFmtId="0" fontId="14" fillId="18" borderId="2" xfId="0" applyFont="1" applyFill="1" applyBorder="1" applyAlignment="1">
      <alignment horizontal="left" vertical="center" wrapText="1"/>
    </xf>
    <xf numFmtId="0" fontId="15" fillId="21" borderId="2" xfId="0" applyFont="1" applyFill="1" applyBorder="1" applyAlignment="1">
      <alignment horizontal="left" vertical="center" wrapText="1"/>
    </xf>
    <xf numFmtId="0" fontId="1" fillId="22" borderId="0" xfId="0" applyFont="1" applyFill="1" applyAlignment="1">
      <alignment horizontal="center" vertical="center" wrapText="1"/>
    </xf>
    <xf numFmtId="0" fontId="21" fillId="0" borderId="0" xfId="0" applyFont="1"/>
    <xf numFmtId="0" fontId="23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0" fillId="0" borderId="3" xfId="0" applyBorder="1"/>
    <xf numFmtId="0" fontId="13" fillId="5" borderId="0" xfId="0" applyFont="1" applyFill="1" applyAlignment="1">
      <alignment horizontal="center" vertical="center" wrapText="1"/>
    </xf>
    <xf numFmtId="0" fontId="0" fillId="0" borderId="0" xfId="0"/>
    <xf numFmtId="0" fontId="15" fillId="12" borderId="2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176" fontId="11" fillId="20" borderId="2" xfId="0" applyNumberFormat="1" applyFont="1" applyFill="1" applyBorder="1" applyAlignment="1">
      <alignment horizontal="center" vertical="center" wrapText="1"/>
    </xf>
    <xf numFmtId="176" fontId="11" fillId="20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7F0000"/>
      <rgbColor rgb="FF008000"/>
      <rgbColor rgb="FF000080"/>
      <rgbColor rgb="FF808000"/>
      <rgbColor rgb="FF633974"/>
      <rgbColor rgb="FF008080"/>
      <rgbColor rgb="FFCCCCCC"/>
      <rgbColor rgb="FF878787"/>
      <rgbColor rgb="FFD9EAD3"/>
      <rgbColor rgb="FF7D3C98"/>
      <rgbColor rgb="FFFEF9E7"/>
      <rgbColor rgb="FFE9F7EF"/>
      <rgbColor rgb="FF4A235A"/>
      <rgbColor rgb="FFF5EEF8"/>
      <rgbColor rgb="FF1F618D"/>
      <rgbColor rgb="FFD5D8DC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E8F8E8"/>
      <rgbColor rgb="FFD5F5E3"/>
      <rgbColor rgb="FFFCE5CD"/>
      <rgbColor rgb="FFCFE2F3"/>
      <rgbColor rgb="FFEAD1DC"/>
      <rgbColor rgb="FFD9D9D9"/>
      <rgbColor rgb="FFFAD7A0"/>
      <rgbColor rgb="FF4A7EBB"/>
      <rgbColor rgb="FF1ABC9C"/>
      <rgbColor rgb="FFEBF3FB"/>
      <rgbColor rgb="FFFADBD8"/>
      <rgbColor rgb="FFFAFAFA"/>
      <rgbColor rgb="FFC0392B"/>
      <rgbColor rgb="FF595959"/>
      <rgbColor rgb="FF82E0AA"/>
      <rgbColor rgb="FF003366"/>
      <rgbColor rgb="FF27AE60"/>
      <rgbColor rgb="FF003300"/>
      <rgbColor rgb="FF1E5631"/>
      <rgbColor rgb="FF922B21"/>
      <rgbColor rgb="FFBE4B48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'4_꺾은선차트_시각화'!$D$4</c:f>
              <c:strCache>
                <c:ptCount val="1"/>
                <c:pt idx="0">
                  <c:v>수면시간(정규화)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'4_꺾은선차트_시각화'!$A$5:$A$21</c:f>
              <c:strCache>
                <c:ptCount val="17"/>
                <c:pt idx="0">
                  <c:v>서울</c:v>
                </c:pt>
                <c:pt idx="1">
                  <c:v>부산</c:v>
                </c:pt>
                <c:pt idx="2">
                  <c:v>대구</c:v>
                </c:pt>
                <c:pt idx="3">
                  <c:v>인천</c:v>
                </c:pt>
                <c:pt idx="4">
                  <c:v>광주</c:v>
                </c:pt>
                <c:pt idx="5">
                  <c:v>대전</c:v>
                </c:pt>
                <c:pt idx="6">
                  <c:v>울산</c:v>
                </c:pt>
                <c:pt idx="7">
                  <c:v>경기</c:v>
                </c:pt>
                <c:pt idx="8">
                  <c:v>강원</c:v>
                </c:pt>
                <c:pt idx="9">
                  <c:v>충북</c:v>
                </c:pt>
                <c:pt idx="10">
                  <c:v>충남</c:v>
                </c:pt>
                <c:pt idx="11">
                  <c:v>전북</c:v>
                </c:pt>
                <c:pt idx="12">
                  <c:v>전남</c:v>
                </c:pt>
                <c:pt idx="13">
                  <c:v>경북</c:v>
                </c:pt>
                <c:pt idx="14">
                  <c:v>경남</c:v>
                </c:pt>
                <c:pt idx="15">
                  <c:v>제주</c:v>
                </c:pt>
                <c:pt idx="16">
                  <c:v>세종</c:v>
                </c:pt>
              </c:strCache>
            </c:strRef>
          </c:cat>
          <c:val>
            <c:numRef>
              <c:f>'4_꺾은선차트_시각화'!$D$5:$D$21</c:f>
              <c:numCache>
                <c:formatCode>0.000000000</c:formatCode>
                <c:ptCount val="17"/>
                <c:pt idx="0">
                  <c:v>0</c:v>
                </c:pt>
                <c:pt idx="1">
                  <c:v>0.28571428571428592</c:v>
                </c:pt>
                <c:pt idx="2">
                  <c:v>0.28571428571428592</c:v>
                </c:pt>
                <c:pt idx="3">
                  <c:v>0.14285714285714232</c:v>
                </c:pt>
                <c:pt idx="4">
                  <c:v>0.57142857142857051</c:v>
                </c:pt>
                <c:pt idx="5">
                  <c:v>0.42857142857142821</c:v>
                </c:pt>
                <c:pt idx="6">
                  <c:v>0.42857142857142821</c:v>
                </c:pt>
                <c:pt idx="7">
                  <c:v>0.14285714285714232</c:v>
                </c:pt>
                <c:pt idx="8">
                  <c:v>0.71428571428571408</c:v>
                </c:pt>
                <c:pt idx="9">
                  <c:v>0.57142857142857051</c:v>
                </c:pt>
                <c:pt idx="10">
                  <c:v>0.57142857142857051</c:v>
                </c:pt>
                <c:pt idx="11">
                  <c:v>0.57142857142857051</c:v>
                </c:pt>
                <c:pt idx="12">
                  <c:v>0.85714285714285643</c:v>
                </c:pt>
                <c:pt idx="13">
                  <c:v>0.57142857142857051</c:v>
                </c:pt>
                <c:pt idx="14">
                  <c:v>0.42857142857142821</c:v>
                </c:pt>
                <c:pt idx="15">
                  <c:v>1</c:v>
                </c:pt>
                <c:pt idx="16">
                  <c:v>0.85714285714285643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50-5741-9498-3B59D5758686}"/>
            </c:ext>
          </c:extLst>
        </c:ser>
        <c:ser>
          <c:idx val="3"/>
          <c:order val="1"/>
          <c:tx>
            <c:strRef>
              <c:f>'4_꺾은선차트_시각화'!$E$4</c:f>
              <c:strCache>
                <c:ptCount val="1"/>
                <c:pt idx="0">
                  <c:v>학업스트레스(정규화)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'4_꺾은선차트_시각화'!$A$5:$A$21</c:f>
              <c:strCache>
                <c:ptCount val="17"/>
                <c:pt idx="0">
                  <c:v>서울</c:v>
                </c:pt>
                <c:pt idx="1">
                  <c:v>부산</c:v>
                </c:pt>
                <c:pt idx="2">
                  <c:v>대구</c:v>
                </c:pt>
                <c:pt idx="3">
                  <c:v>인천</c:v>
                </c:pt>
                <c:pt idx="4">
                  <c:v>광주</c:v>
                </c:pt>
                <c:pt idx="5">
                  <c:v>대전</c:v>
                </c:pt>
                <c:pt idx="6">
                  <c:v>울산</c:v>
                </c:pt>
                <c:pt idx="7">
                  <c:v>경기</c:v>
                </c:pt>
                <c:pt idx="8">
                  <c:v>강원</c:v>
                </c:pt>
                <c:pt idx="9">
                  <c:v>충북</c:v>
                </c:pt>
                <c:pt idx="10">
                  <c:v>충남</c:v>
                </c:pt>
                <c:pt idx="11">
                  <c:v>전북</c:v>
                </c:pt>
                <c:pt idx="12">
                  <c:v>전남</c:v>
                </c:pt>
                <c:pt idx="13">
                  <c:v>경북</c:v>
                </c:pt>
                <c:pt idx="14">
                  <c:v>경남</c:v>
                </c:pt>
                <c:pt idx="15">
                  <c:v>제주</c:v>
                </c:pt>
                <c:pt idx="16">
                  <c:v>세종</c:v>
                </c:pt>
              </c:strCache>
            </c:strRef>
          </c:cat>
          <c:val>
            <c:numRef>
              <c:f>'4_꺾은선차트_시각화'!$E$5:$E$21</c:f>
              <c:numCache>
                <c:formatCode>0.000000000</c:formatCode>
                <c:ptCount val="17"/>
                <c:pt idx="0">
                  <c:v>1</c:v>
                </c:pt>
                <c:pt idx="1">
                  <c:v>0.64634146341463439</c:v>
                </c:pt>
                <c:pt idx="2">
                  <c:v>0.71951219512195075</c:v>
                </c:pt>
                <c:pt idx="3">
                  <c:v>0.92682926829268275</c:v>
                </c:pt>
                <c:pt idx="4">
                  <c:v>0.46341463414634182</c:v>
                </c:pt>
                <c:pt idx="5">
                  <c:v>0.52439024390243938</c:v>
                </c:pt>
                <c:pt idx="6">
                  <c:v>0.47560975609756062</c:v>
                </c:pt>
                <c:pt idx="7">
                  <c:v>0.86585365853658525</c:v>
                </c:pt>
                <c:pt idx="8">
                  <c:v>0.18292682926829262</c:v>
                </c:pt>
                <c:pt idx="9">
                  <c:v>0.32926829268292707</c:v>
                </c:pt>
                <c:pt idx="10">
                  <c:v>0.26829268292682951</c:v>
                </c:pt>
                <c:pt idx="11">
                  <c:v>0.2804878048780492</c:v>
                </c:pt>
                <c:pt idx="12">
                  <c:v>7.3170731707317221E-2</c:v>
                </c:pt>
                <c:pt idx="13">
                  <c:v>0.24390243902439016</c:v>
                </c:pt>
                <c:pt idx="14">
                  <c:v>0.35365853658536556</c:v>
                </c:pt>
                <c:pt idx="15">
                  <c:v>0</c:v>
                </c:pt>
                <c:pt idx="16">
                  <c:v>0.14634146341463444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50-5741-9498-3B59D5758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7960319"/>
        <c:axId val="1697965247"/>
      </c:lineChart>
      <c:catAx>
        <c:axId val="1697960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697965247"/>
        <c:crosses val="autoZero"/>
        <c:auto val="1"/>
        <c:lblAlgn val="ctr"/>
        <c:lblOffset val="100"/>
        <c:noMultiLvlLbl val="0"/>
      </c:catAx>
      <c:valAx>
        <c:axId val="169796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ore-KR"/>
          </a:p>
        </c:txPr>
        <c:crossAx val="1697960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ore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ore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4</xdr:row>
      <xdr:rowOff>88900</xdr:rowOff>
    </xdr:from>
    <xdr:to>
      <xdr:col>12</xdr:col>
      <xdr:colOff>76200</xdr:colOff>
      <xdr:row>20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F84AC3-DFF7-CFC9-A816-1B2FF5804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Normal="100" workbookViewId="0">
      <selection activeCell="B6" sqref="B6:B22"/>
    </sheetView>
  </sheetViews>
  <sheetFormatPr baseColWidth="10" defaultColWidth="55" defaultRowHeight="21"/>
  <cols>
    <col min="1" max="1" width="55" style="1" customWidth="1"/>
    <col min="2" max="2" width="62" style="1" customWidth="1"/>
    <col min="3" max="3" width="55" style="1" customWidth="1"/>
    <col min="4" max="16384" width="55" style="1"/>
  </cols>
  <sheetData>
    <row r="1" spans="1:2" ht="30" customHeight="1">
      <c r="A1" s="49" t="s">
        <v>2</v>
      </c>
      <c r="B1" s="38"/>
    </row>
    <row r="2" spans="1:2" ht="39.5" customHeight="1">
      <c r="A2" s="48" t="s">
        <v>3</v>
      </c>
      <c r="B2" s="38"/>
    </row>
    <row r="3" spans="1:2" ht="26.75" customHeight="1">
      <c r="A3" s="47" t="s">
        <v>4</v>
      </c>
      <c r="B3" s="38"/>
    </row>
    <row r="5" spans="1:2" ht="24" customHeight="1">
      <c r="A5" s="2" t="s">
        <v>5</v>
      </c>
      <c r="B5" s="2" t="s">
        <v>6</v>
      </c>
    </row>
    <row r="6" spans="1:2" ht="23" customHeight="1">
      <c r="A6" s="3" t="s">
        <v>7</v>
      </c>
      <c r="B6" s="4">
        <v>5.7</v>
      </c>
    </row>
    <row r="7" spans="1:2" ht="23" customHeight="1">
      <c r="A7" s="5" t="s">
        <v>8</v>
      </c>
      <c r="B7" s="6">
        <v>5.9</v>
      </c>
    </row>
    <row r="8" spans="1:2" ht="23" customHeight="1">
      <c r="A8" s="3" t="s">
        <v>9</v>
      </c>
      <c r="B8" s="4">
        <v>5.9</v>
      </c>
    </row>
    <row r="9" spans="1:2" ht="23" customHeight="1">
      <c r="A9" s="5" t="s">
        <v>10</v>
      </c>
      <c r="B9" s="6">
        <v>5.8</v>
      </c>
    </row>
    <row r="10" spans="1:2" ht="23" customHeight="1">
      <c r="A10" s="3" t="s">
        <v>11</v>
      </c>
      <c r="B10" s="4">
        <v>6.1</v>
      </c>
    </row>
    <row r="11" spans="1:2" ht="23" customHeight="1">
      <c r="A11" s="5" t="s">
        <v>12</v>
      </c>
      <c r="B11" s="6">
        <v>6</v>
      </c>
    </row>
    <row r="12" spans="1:2" ht="23" customHeight="1">
      <c r="A12" s="3" t="s">
        <v>13</v>
      </c>
      <c r="B12" s="4">
        <v>6</v>
      </c>
    </row>
    <row r="13" spans="1:2" ht="23" customHeight="1">
      <c r="A13" s="5" t="s">
        <v>14</v>
      </c>
      <c r="B13" s="6">
        <v>5.8</v>
      </c>
    </row>
    <row r="14" spans="1:2" ht="23" customHeight="1">
      <c r="A14" s="3" t="s">
        <v>15</v>
      </c>
      <c r="B14" s="4">
        <v>6.2</v>
      </c>
    </row>
    <row r="15" spans="1:2" ht="23" customHeight="1">
      <c r="A15" s="5" t="s">
        <v>16</v>
      </c>
      <c r="B15" s="6">
        <v>6.1</v>
      </c>
    </row>
    <row r="16" spans="1:2" ht="23" customHeight="1">
      <c r="A16" s="3" t="s">
        <v>17</v>
      </c>
      <c r="B16" s="4">
        <v>6.1</v>
      </c>
    </row>
    <row r="17" spans="1:2" ht="23" customHeight="1">
      <c r="A17" s="5" t="s">
        <v>18</v>
      </c>
      <c r="B17" s="6">
        <v>6.1</v>
      </c>
    </row>
    <row r="18" spans="1:2" ht="23" customHeight="1">
      <c r="A18" s="3" t="s">
        <v>19</v>
      </c>
      <c r="B18" s="4">
        <v>6.3</v>
      </c>
    </row>
    <row r="19" spans="1:2" ht="23" customHeight="1">
      <c r="A19" s="5" t="s">
        <v>20</v>
      </c>
      <c r="B19" s="6">
        <v>6.1</v>
      </c>
    </row>
    <row r="20" spans="1:2" ht="23" customHeight="1">
      <c r="A20" s="3" t="s">
        <v>21</v>
      </c>
      <c r="B20" s="4">
        <v>6</v>
      </c>
    </row>
    <row r="21" spans="1:2" ht="23" customHeight="1">
      <c r="A21" s="5" t="s">
        <v>22</v>
      </c>
      <c r="B21" s="6">
        <v>6.4</v>
      </c>
    </row>
    <row r="22" spans="1:2" ht="23" customHeight="1">
      <c r="A22" s="3" t="s">
        <v>23</v>
      </c>
      <c r="B22" s="4">
        <v>6.3</v>
      </c>
    </row>
  </sheetData>
  <mergeCells count="3">
    <mergeCell ref="A3:B3"/>
    <mergeCell ref="A2:B2"/>
    <mergeCell ref="A1:B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zoomScaleNormal="100" workbookViewId="0">
      <selection activeCell="B6" sqref="B6:B22"/>
    </sheetView>
  </sheetViews>
  <sheetFormatPr baseColWidth="10" defaultColWidth="8.6640625" defaultRowHeight="21"/>
  <cols>
    <col min="1" max="1" width="77.5" style="1" customWidth="1"/>
    <col min="2" max="2" width="71.1640625" style="1" customWidth="1"/>
    <col min="3" max="3" width="8.6640625" style="1" customWidth="1"/>
    <col min="4" max="16384" width="8.6640625" style="1"/>
  </cols>
  <sheetData>
    <row r="1" spans="1:2" ht="30" customHeight="1">
      <c r="A1" s="51" t="s">
        <v>24</v>
      </c>
      <c r="B1" s="38"/>
    </row>
    <row r="2" spans="1:2" ht="39.5" customHeight="1">
      <c r="A2" s="48" t="s">
        <v>25</v>
      </c>
      <c r="B2" s="38"/>
    </row>
    <row r="3" spans="1:2" ht="26.75" customHeight="1">
      <c r="A3" s="50" t="s">
        <v>26</v>
      </c>
      <c r="B3" s="38"/>
    </row>
    <row r="5" spans="1:2" ht="24" customHeight="1">
      <c r="A5" s="7" t="s">
        <v>5</v>
      </c>
      <c r="B5" s="7" t="s">
        <v>27</v>
      </c>
    </row>
    <row r="6" spans="1:2" ht="23" customHeight="1">
      <c r="A6" s="8" t="s">
        <v>7</v>
      </c>
      <c r="B6" s="9">
        <v>44.1</v>
      </c>
    </row>
    <row r="7" spans="1:2" ht="23" customHeight="1">
      <c r="A7" s="5" t="s">
        <v>8</v>
      </c>
      <c r="B7" s="6">
        <v>41.2</v>
      </c>
    </row>
    <row r="8" spans="1:2" ht="23" customHeight="1">
      <c r="A8" s="8" t="s">
        <v>9</v>
      </c>
      <c r="B8" s="9">
        <v>41.8</v>
      </c>
    </row>
    <row r="9" spans="1:2" ht="23" customHeight="1">
      <c r="A9" s="5" t="s">
        <v>10</v>
      </c>
      <c r="B9" s="6">
        <v>43.5</v>
      </c>
    </row>
    <row r="10" spans="1:2" ht="23" customHeight="1">
      <c r="A10" s="8" t="s">
        <v>11</v>
      </c>
      <c r="B10" s="9">
        <v>39.700000000000003</v>
      </c>
    </row>
    <row r="11" spans="1:2" ht="23" customHeight="1">
      <c r="A11" s="5" t="s">
        <v>12</v>
      </c>
      <c r="B11" s="6">
        <v>40.200000000000003</v>
      </c>
    </row>
    <row r="12" spans="1:2" ht="23" customHeight="1">
      <c r="A12" s="8" t="s">
        <v>13</v>
      </c>
      <c r="B12" s="9">
        <v>39.799999999999997</v>
      </c>
    </row>
    <row r="13" spans="1:2" ht="23" customHeight="1">
      <c r="A13" s="5" t="s">
        <v>14</v>
      </c>
      <c r="B13" s="6">
        <v>43</v>
      </c>
    </row>
    <row r="14" spans="1:2" ht="23" customHeight="1">
      <c r="A14" s="8" t="s">
        <v>15</v>
      </c>
      <c r="B14" s="9">
        <v>37.4</v>
      </c>
    </row>
    <row r="15" spans="1:2" ht="23" customHeight="1">
      <c r="A15" s="5" t="s">
        <v>16</v>
      </c>
      <c r="B15" s="6">
        <v>38.6</v>
      </c>
    </row>
    <row r="16" spans="1:2" ht="23" customHeight="1">
      <c r="A16" s="8" t="s">
        <v>17</v>
      </c>
      <c r="B16" s="9">
        <v>38.1</v>
      </c>
    </row>
    <row r="17" spans="1:2" ht="23" customHeight="1">
      <c r="A17" s="5" t="s">
        <v>18</v>
      </c>
      <c r="B17" s="6">
        <v>38.200000000000003</v>
      </c>
    </row>
    <row r="18" spans="1:2" ht="23" customHeight="1">
      <c r="A18" s="8" t="s">
        <v>19</v>
      </c>
      <c r="B18" s="9">
        <v>36.5</v>
      </c>
    </row>
    <row r="19" spans="1:2" ht="23" customHeight="1">
      <c r="A19" s="5" t="s">
        <v>20</v>
      </c>
      <c r="B19" s="6">
        <v>37.9</v>
      </c>
    </row>
    <row r="20" spans="1:2" ht="23" customHeight="1">
      <c r="A20" s="8" t="s">
        <v>21</v>
      </c>
      <c r="B20" s="9">
        <v>38.799999999999997</v>
      </c>
    </row>
    <row r="21" spans="1:2" ht="23" customHeight="1">
      <c r="A21" s="5" t="s">
        <v>22</v>
      </c>
      <c r="B21" s="6">
        <v>35.9</v>
      </c>
    </row>
    <row r="22" spans="1:2" ht="23" customHeight="1">
      <c r="A22" s="8" t="s">
        <v>23</v>
      </c>
      <c r="B22" s="9">
        <v>37.1</v>
      </c>
    </row>
  </sheetData>
  <mergeCells count="3">
    <mergeCell ref="A3:B3"/>
    <mergeCell ref="A2:B2"/>
    <mergeCell ref="A1:B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zoomScaleNormal="100" workbookViewId="0">
      <selection activeCell="G21" sqref="G21"/>
    </sheetView>
  </sheetViews>
  <sheetFormatPr baseColWidth="10" defaultColWidth="8.6640625" defaultRowHeight="15"/>
  <cols>
    <col min="1" max="1" width="12.1640625" customWidth="1"/>
    <col min="2" max="4" width="32.83203125" customWidth="1"/>
    <col min="5" max="5" width="35" customWidth="1"/>
  </cols>
  <sheetData>
    <row r="1" spans="1:5" ht="31.5" customHeight="1">
      <c r="A1" s="57" t="s">
        <v>28</v>
      </c>
      <c r="B1" s="55"/>
      <c r="C1" s="55"/>
      <c r="D1" s="55"/>
      <c r="E1" s="55"/>
    </row>
    <row r="2" spans="1:5" ht="30.5" customHeight="1">
      <c r="A2" s="54" t="s">
        <v>29</v>
      </c>
      <c r="B2" s="55"/>
      <c r="C2" s="55"/>
      <c r="D2" s="55"/>
      <c r="E2" s="55"/>
    </row>
    <row r="3" spans="1:5" ht="29" customHeight="1">
      <c r="A3" s="10" t="s">
        <v>30</v>
      </c>
      <c r="B3" s="58" t="s">
        <v>31</v>
      </c>
      <c r="C3" s="53"/>
      <c r="D3" s="53"/>
      <c r="E3" s="53"/>
    </row>
    <row r="4" spans="1:5" ht="29" customHeight="1">
      <c r="A4" s="10" t="s">
        <v>32</v>
      </c>
      <c r="B4" s="52" t="s">
        <v>33</v>
      </c>
      <c r="C4" s="53"/>
      <c r="D4" s="53"/>
      <c r="E4" s="53"/>
    </row>
    <row r="5" spans="1:5" ht="29" customHeight="1">
      <c r="A5" s="10" t="s">
        <v>34</v>
      </c>
      <c r="B5" s="59" t="s">
        <v>81</v>
      </c>
      <c r="C5" s="53"/>
      <c r="D5" s="53"/>
      <c r="E5" s="53"/>
    </row>
    <row r="6" spans="1:5" ht="29" customHeight="1">
      <c r="A6" s="10" t="s">
        <v>35</v>
      </c>
      <c r="B6" s="56" t="s">
        <v>82</v>
      </c>
      <c r="C6" s="53"/>
      <c r="D6" s="53"/>
      <c r="E6" s="53"/>
    </row>
    <row r="7" spans="1:5" ht="21" customHeight="1">
      <c r="B7" s="20"/>
      <c r="C7" s="20"/>
      <c r="D7" s="20"/>
      <c r="E7" s="20"/>
    </row>
    <row r="8" spans="1:5" ht="27.75" customHeight="1">
      <c r="A8" s="11" t="s">
        <v>5</v>
      </c>
      <c r="B8" s="11" t="s">
        <v>36</v>
      </c>
      <c r="C8" s="11" t="s">
        <v>37</v>
      </c>
      <c r="D8" s="11" t="s">
        <v>38</v>
      </c>
      <c r="E8" s="11" t="s">
        <v>39</v>
      </c>
    </row>
    <row r="9" spans="1:5" ht="22" customHeight="1">
      <c r="A9" s="5" t="s">
        <v>7</v>
      </c>
      <c r="B9" s="4">
        <v>5.7</v>
      </c>
      <c r="C9" s="9">
        <v>44.1</v>
      </c>
      <c r="D9" s="19">
        <f>(B9-MIN($B$9:$B$25))/(MAX($B$9:$B$25)-MIN($B$9:$B$25))</f>
        <v>0</v>
      </c>
      <c r="E9" s="19">
        <f>(C9-MIN($C$9:$C$25))/(MAX($C$9:$C$25)-MIN($C$9:$C$25))</f>
        <v>1</v>
      </c>
    </row>
    <row r="10" spans="1:5" ht="22" customHeight="1">
      <c r="A10" s="12" t="s">
        <v>8</v>
      </c>
      <c r="B10" s="6">
        <v>5.9</v>
      </c>
      <c r="C10" s="6">
        <v>41.2</v>
      </c>
      <c r="D10" s="19">
        <f t="shared" ref="D10:D25" si="0">(B10-MIN($B$9:$B$25))/(MAX($B$9:$B$25)-MIN($B$9:$B$25))</f>
        <v>0.28571428571428592</v>
      </c>
      <c r="E10" s="19">
        <f t="shared" ref="E10:E25" si="1">(C10-MIN($C$9:$C$25))/(MAX($C$9:$C$25)-MIN($C$9:$C$25))</f>
        <v>0.64634146341463439</v>
      </c>
    </row>
    <row r="11" spans="1:5" ht="22" customHeight="1">
      <c r="A11" s="5" t="s">
        <v>9</v>
      </c>
      <c r="B11" s="4">
        <v>5.9</v>
      </c>
      <c r="C11" s="9">
        <v>41.8</v>
      </c>
      <c r="D11" s="19">
        <f t="shared" si="0"/>
        <v>0.28571428571428592</v>
      </c>
      <c r="E11" s="19">
        <f t="shared" si="1"/>
        <v>0.71951219512195075</v>
      </c>
    </row>
    <row r="12" spans="1:5" ht="22" customHeight="1">
      <c r="A12" s="12" t="s">
        <v>10</v>
      </c>
      <c r="B12" s="6">
        <v>5.8</v>
      </c>
      <c r="C12" s="6">
        <v>43.5</v>
      </c>
      <c r="D12" s="19">
        <f t="shared" si="0"/>
        <v>0.14285714285714232</v>
      </c>
      <c r="E12" s="19">
        <f t="shared" si="1"/>
        <v>0.92682926829268275</v>
      </c>
    </row>
    <row r="13" spans="1:5" ht="22" customHeight="1">
      <c r="A13" s="5" t="s">
        <v>11</v>
      </c>
      <c r="B13" s="4">
        <v>6.1</v>
      </c>
      <c r="C13" s="9">
        <v>39.700000000000003</v>
      </c>
      <c r="D13" s="19">
        <f t="shared" si="0"/>
        <v>0.57142857142857051</v>
      </c>
      <c r="E13" s="19">
        <f t="shared" si="1"/>
        <v>0.46341463414634182</v>
      </c>
    </row>
    <row r="14" spans="1:5" ht="22" customHeight="1">
      <c r="A14" s="12" t="s">
        <v>12</v>
      </c>
      <c r="B14" s="6">
        <v>6</v>
      </c>
      <c r="C14" s="6">
        <v>40.200000000000003</v>
      </c>
      <c r="D14" s="19">
        <f t="shared" si="0"/>
        <v>0.42857142857142821</v>
      </c>
      <c r="E14" s="19">
        <f t="shared" si="1"/>
        <v>0.52439024390243938</v>
      </c>
    </row>
    <row r="15" spans="1:5" ht="22" customHeight="1">
      <c r="A15" s="5" t="s">
        <v>13</v>
      </c>
      <c r="B15" s="4">
        <v>6</v>
      </c>
      <c r="C15" s="9">
        <v>39.799999999999997</v>
      </c>
      <c r="D15" s="19">
        <f t="shared" si="0"/>
        <v>0.42857142857142821</v>
      </c>
      <c r="E15" s="19">
        <f t="shared" si="1"/>
        <v>0.47560975609756062</v>
      </c>
    </row>
    <row r="16" spans="1:5" ht="22" customHeight="1">
      <c r="A16" s="12" t="s">
        <v>14</v>
      </c>
      <c r="B16" s="6">
        <v>5.8</v>
      </c>
      <c r="C16" s="6">
        <v>43</v>
      </c>
      <c r="D16" s="19">
        <f t="shared" si="0"/>
        <v>0.14285714285714232</v>
      </c>
      <c r="E16" s="19">
        <f t="shared" si="1"/>
        <v>0.86585365853658525</v>
      </c>
    </row>
    <row r="17" spans="1:5" ht="22" customHeight="1">
      <c r="A17" s="5" t="s">
        <v>15</v>
      </c>
      <c r="B17" s="4">
        <v>6.2</v>
      </c>
      <c r="C17" s="9">
        <v>37.4</v>
      </c>
      <c r="D17" s="19">
        <f t="shared" si="0"/>
        <v>0.71428571428571408</v>
      </c>
      <c r="E17" s="19">
        <f t="shared" si="1"/>
        <v>0.18292682926829262</v>
      </c>
    </row>
    <row r="18" spans="1:5" ht="22" customHeight="1">
      <c r="A18" s="12" t="s">
        <v>16</v>
      </c>
      <c r="B18" s="6">
        <v>6.1</v>
      </c>
      <c r="C18" s="6">
        <v>38.6</v>
      </c>
      <c r="D18" s="19">
        <f t="shared" si="0"/>
        <v>0.57142857142857051</v>
      </c>
      <c r="E18" s="19">
        <f t="shared" si="1"/>
        <v>0.32926829268292707</v>
      </c>
    </row>
    <row r="19" spans="1:5" ht="22" customHeight="1">
      <c r="A19" s="5" t="s">
        <v>17</v>
      </c>
      <c r="B19" s="4">
        <v>6.1</v>
      </c>
      <c r="C19" s="9">
        <v>38.1</v>
      </c>
      <c r="D19" s="19">
        <f t="shared" si="0"/>
        <v>0.57142857142857051</v>
      </c>
      <c r="E19" s="19">
        <f t="shared" si="1"/>
        <v>0.26829268292682951</v>
      </c>
    </row>
    <row r="20" spans="1:5" ht="22" customHeight="1">
      <c r="A20" s="12" t="s">
        <v>18</v>
      </c>
      <c r="B20" s="6">
        <v>6.1</v>
      </c>
      <c r="C20" s="6">
        <v>38.200000000000003</v>
      </c>
      <c r="D20" s="19">
        <f t="shared" si="0"/>
        <v>0.57142857142857051</v>
      </c>
      <c r="E20" s="19">
        <f t="shared" si="1"/>
        <v>0.2804878048780492</v>
      </c>
    </row>
    <row r="21" spans="1:5" ht="22" customHeight="1">
      <c r="A21" s="5" t="s">
        <v>19</v>
      </c>
      <c r="B21" s="4">
        <v>6.3</v>
      </c>
      <c r="C21" s="9">
        <v>36.5</v>
      </c>
      <c r="D21" s="19">
        <f t="shared" si="0"/>
        <v>0.85714285714285643</v>
      </c>
      <c r="E21" s="19">
        <f t="shared" si="1"/>
        <v>7.3170731707317221E-2</v>
      </c>
    </row>
    <row r="22" spans="1:5" ht="22" customHeight="1">
      <c r="A22" s="12" t="s">
        <v>20</v>
      </c>
      <c r="B22" s="6">
        <v>6.1</v>
      </c>
      <c r="C22" s="6">
        <v>37.9</v>
      </c>
      <c r="D22" s="19">
        <f t="shared" si="0"/>
        <v>0.57142857142857051</v>
      </c>
      <c r="E22" s="19">
        <f t="shared" si="1"/>
        <v>0.24390243902439016</v>
      </c>
    </row>
    <row r="23" spans="1:5" ht="22" customHeight="1">
      <c r="A23" s="5" t="s">
        <v>21</v>
      </c>
      <c r="B23" s="4">
        <v>6</v>
      </c>
      <c r="C23" s="9">
        <v>38.799999999999997</v>
      </c>
      <c r="D23" s="19">
        <f t="shared" si="0"/>
        <v>0.42857142857142821</v>
      </c>
      <c r="E23" s="19">
        <f t="shared" si="1"/>
        <v>0.35365853658536556</v>
      </c>
    </row>
    <row r="24" spans="1:5" ht="22" customHeight="1">
      <c r="A24" s="12" t="s">
        <v>22</v>
      </c>
      <c r="B24" s="6">
        <v>6.4</v>
      </c>
      <c r="C24" s="6">
        <v>35.9</v>
      </c>
      <c r="D24" s="19">
        <f t="shared" si="0"/>
        <v>1</v>
      </c>
      <c r="E24" s="19">
        <f t="shared" si="1"/>
        <v>0</v>
      </c>
    </row>
    <row r="25" spans="1:5" ht="22" customHeight="1">
      <c r="A25" s="5" t="s">
        <v>23</v>
      </c>
      <c r="B25" s="4">
        <v>6.3</v>
      </c>
      <c r="C25" s="9">
        <v>37.1</v>
      </c>
      <c r="D25" s="19">
        <f t="shared" si="0"/>
        <v>0.85714285714285643</v>
      </c>
      <c r="E25" s="19">
        <f t="shared" si="1"/>
        <v>0.14634146341463444</v>
      </c>
    </row>
  </sheetData>
  <mergeCells count="6">
    <mergeCell ref="B4:E4"/>
    <mergeCell ref="A2:E2"/>
    <mergeCell ref="B6:E6"/>
    <mergeCell ref="A1:E1"/>
    <mergeCell ref="B3:E3"/>
    <mergeCell ref="B5:E5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Normal="100" workbookViewId="0">
      <selection activeCell="G30" sqref="G30"/>
    </sheetView>
  </sheetViews>
  <sheetFormatPr baseColWidth="10" defaultColWidth="8.6640625" defaultRowHeight="15"/>
  <cols>
    <col min="1" max="4" width="29.83203125" customWidth="1"/>
    <col min="5" max="5" width="30.83203125" customWidth="1"/>
    <col min="7" max="7" width="51.6640625" customWidth="1"/>
  </cols>
  <sheetData>
    <row r="1" spans="1:7" ht="31.5" customHeight="1">
      <c r="A1" s="61" t="s">
        <v>0</v>
      </c>
      <c r="B1" s="55"/>
      <c r="C1" s="55"/>
      <c r="D1" s="55"/>
      <c r="E1" s="55"/>
      <c r="F1" s="55"/>
      <c r="G1" s="55"/>
    </row>
    <row r="2" spans="1:7" ht="29.75" customHeight="1">
      <c r="A2" s="60" t="s">
        <v>1</v>
      </c>
      <c r="B2" s="55"/>
      <c r="C2" s="55"/>
      <c r="D2" s="55"/>
      <c r="E2" s="55"/>
      <c r="F2" s="55"/>
      <c r="G2" s="55"/>
    </row>
    <row r="3" spans="1:7" ht="24" customHeight="1">
      <c r="A3" s="13"/>
      <c r="B3" s="13"/>
      <c r="C3" s="13"/>
      <c r="D3" s="13"/>
      <c r="E3" s="13"/>
      <c r="F3" s="13"/>
      <c r="G3" s="13"/>
    </row>
    <row r="4" spans="1:7" ht="28" customHeight="1">
      <c r="A4" s="14" t="str">
        <f>'3_전처리_정규화'!A8</f>
        <v>시도</v>
      </c>
      <c r="B4" s="14" t="str">
        <f>'3_전처리_정규화'!B8</f>
        <v>평균 수면시간(시간)</v>
      </c>
      <c r="C4" s="14" t="str">
        <f>'3_전처리_정규화'!C8</f>
        <v>학업스트레스(%)</v>
      </c>
      <c r="D4" s="14" t="str">
        <f>'3_전처리_정규화'!D8</f>
        <v>수면시간(정규화)</v>
      </c>
      <c r="E4" s="14" t="str">
        <f>'3_전처리_정규화'!E8</f>
        <v>학업스트레스(정규화)</v>
      </c>
      <c r="F4" s="13"/>
      <c r="G4" s="13"/>
    </row>
    <row r="5" spans="1:7" ht="27" customHeight="1">
      <c r="A5" s="15" t="str">
        <f>'3_전처리_정규화'!A9</f>
        <v>서울</v>
      </c>
      <c r="B5" s="15">
        <f>'3_전처리_정규화'!B9</f>
        <v>5.7</v>
      </c>
      <c r="C5" s="15">
        <f>'3_전처리_정규화'!C9</f>
        <v>44.1</v>
      </c>
      <c r="D5" s="16">
        <f>'3_전처리_정규화'!D9</f>
        <v>0</v>
      </c>
      <c r="E5" s="16">
        <f>'3_전처리_정규화'!E9</f>
        <v>1</v>
      </c>
      <c r="F5" s="13"/>
      <c r="G5" s="13"/>
    </row>
    <row r="6" spans="1:7" ht="27" customHeight="1">
      <c r="A6" s="17" t="str">
        <f>'3_전처리_정규화'!A10</f>
        <v>부산</v>
      </c>
      <c r="B6" s="17">
        <f>'3_전처리_정규화'!B10</f>
        <v>5.9</v>
      </c>
      <c r="C6" s="17">
        <f>'3_전처리_정규화'!C10</f>
        <v>41.2</v>
      </c>
      <c r="D6" s="18">
        <f>'3_전처리_정규화'!D10</f>
        <v>0.28571428571428592</v>
      </c>
      <c r="E6" s="18">
        <f>'3_전처리_정규화'!E10</f>
        <v>0.64634146341463439</v>
      </c>
      <c r="F6" s="13"/>
      <c r="G6" s="13"/>
    </row>
    <row r="7" spans="1:7" ht="27" customHeight="1">
      <c r="A7" s="15" t="str">
        <f>'3_전처리_정규화'!A11</f>
        <v>대구</v>
      </c>
      <c r="B7" s="15">
        <f>'3_전처리_정규화'!B11</f>
        <v>5.9</v>
      </c>
      <c r="C7" s="15">
        <f>'3_전처리_정규화'!C11</f>
        <v>41.8</v>
      </c>
      <c r="D7" s="16">
        <f>'3_전처리_정규화'!D11</f>
        <v>0.28571428571428592</v>
      </c>
      <c r="E7" s="16">
        <f>'3_전처리_정규화'!E11</f>
        <v>0.71951219512195075</v>
      </c>
      <c r="F7" s="13"/>
      <c r="G7" s="13"/>
    </row>
    <row r="8" spans="1:7" ht="27" customHeight="1">
      <c r="A8" s="17" t="str">
        <f>'3_전처리_정규화'!A12</f>
        <v>인천</v>
      </c>
      <c r="B8" s="17">
        <f>'3_전처리_정규화'!B12</f>
        <v>5.8</v>
      </c>
      <c r="C8" s="17">
        <f>'3_전처리_정규화'!C12</f>
        <v>43.5</v>
      </c>
      <c r="D8" s="18">
        <f>'3_전처리_정규화'!D12</f>
        <v>0.14285714285714232</v>
      </c>
      <c r="E8" s="18">
        <f>'3_전처리_정규화'!E12</f>
        <v>0.92682926829268275</v>
      </c>
      <c r="F8" s="13"/>
      <c r="G8" s="13"/>
    </row>
    <row r="9" spans="1:7" ht="27" customHeight="1">
      <c r="A9" s="15" t="str">
        <f>'3_전처리_정규화'!A13</f>
        <v>광주</v>
      </c>
      <c r="B9" s="15">
        <f>'3_전처리_정규화'!B13</f>
        <v>6.1</v>
      </c>
      <c r="C9" s="15">
        <f>'3_전처리_정규화'!C13</f>
        <v>39.700000000000003</v>
      </c>
      <c r="D9" s="16">
        <f>'3_전처리_정규화'!D13</f>
        <v>0.57142857142857051</v>
      </c>
      <c r="E9" s="16">
        <f>'3_전처리_정규화'!E13</f>
        <v>0.46341463414634182</v>
      </c>
      <c r="F9" s="13"/>
      <c r="G9" s="13"/>
    </row>
    <row r="10" spans="1:7" ht="27" customHeight="1">
      <c r="A10" s="17" t="str">
        <f>'3_전처리_정규화'!A14</f>
        <v>대전</v>
      </c>
      <c r="B10" s="17">
        <f>'3_전처리_정규화'!B14</f>
        <v>6</v>
      </c>
      <c r="C10" s="17">
        <f>'3_전처리_정규화'!C14</f>
        <v>40.200000000000003</v>
      </c>
      <c r="D10" s="18">
        <f>'3_전처리_정규화'!D14</f>
        <v>0.42857142857142821</v>
      </c>
      <c r="E10" s="18">
        <f>'3_전처리_정규화'!E14</f>
        <v>0.52439024390243938</v>
      </c>
      <c r="F10" s="13"/>
      <c r="G10" s="13"/>
    </row>
    <row r="11" spans="1:7" ht="27" customHeight="1">
      <c r="A11" s="15" t="str">
        <f>'3_전처리_정규화'!A15</f>
        <v>울산</v>
      </c>
      <c r="B11" s="15">
        <f>'3_전처리_정규화'!B15</f>
        <v>6</v>
      </c>
      <c r="C11" s="15">
        <f>'3_전처리_정규화'!C15</f>
        <v>39.799999999999997</v>
      </c>
      <c r="D11" s="16">
        <f>'3_전처리_정규화'!D15</f>
        <v>0.42857142857142821</v>
      </c>
      <c r="E11" s="16">
        <f>'3_전처리_정규화'!E15</f>
        <v>0.47560975609756062</v>
      </c>
      <c r="F11" s="13"/>
      <c r="G11" s="13"/>
    </row>
    <row r="12" spans="1:7" ht="27" customHeight="1">
      <c r="A12" s="17" t="str">
        <f>'3_전처리_정규화'!A16</f>
        <v>경기</v>
      </c>
      <c r="B12" s="17">
        <f>'3_전처리_정규화'!B16</f>
        <v>5.8</v>
      </c>
      <c r="C12" s="17">
        <f>'3_전처리_정규화'!C16</f>
        <v>43</v>
      </c>
      <c r="D12" s="18">
        <f>'3_전처리_정규화'!D16</f>
        <v>0.14285714285714232</v>
      </c>
      <c r="E12" s="18">
        <f>'3_전처리_정규화'!E16</f>
        <v>0.86585365853658525</v>
      </c>
      <c r="F12" s="13"/>
      <c r="G12" s="13"/>
    </row>
    <row r="13" spans="1:7" ht="27" customHeight="1">
      <c r="A13" s="15" t="str">
        <f>'3_전처리_정규화'!A17</f>
        <v>강원</v>
      </c>
      <c r="B13" s="15">
        <f>'3_전처리_정규화'!B17</f>
        <v>6.2</v>
      </c>
      <c r="C13" s="15">
        <f>'3_전처리_정규화'!C17</f>
        <v>37.4</v>
      </c>
      <c r="D13" s="16">
        <f>'3_전처리_정규화'!D17</f>
        <v>0.71428571428571408</v>
      </c>
      <c r="E13" s="16">
        <f>'3_전처리_정규화'!E17</f>
        <v>0.18292682926829262</v>
      </c>
      <c r="F13" s="13"/>
      <c r="G13" s="13"/>
    </row>
    <row r="14" spans="1:7" ht="27" customHeight="1">
      <c r="A14" s="17" t="str">
        <f>'3_전처리_정규화'!A18</f>
        <v>충북</v>
      </c>
      <c r="B14" s="17">
        <f>'3_전처리_정규화'!B18</f>
        <v>6.1</v>
      </c>
      <c r="C14" s="17">
        <f>'3_전처리_정규화'!C18</f>
        <v>38.6</v>
      </c>
      <c r="D14" s="18">
        <f>'3_전처리_정규화'!D18</f>
        <v>0.57142857142857051</v>
      </c>
      <c r="E14" s="18">
        <f>'3_전처리_정규화'!E18</f>
        <v>0.32926829268292707</v>
      </c>
      <c r="F14" s="13"/>
      <c r="G14" s="13"/>
    </row>
    <row r="15" spans="1:7" ht="27" customHeight="1">
      <c r="A15" s="15" t="str">
        <f>'3_전처리_정규화'!A19</f>
        <v>충남</v>
      </c>
      <c r="B15" s="15">
        <f>'3_전처리_정규화'!B19</f>
        <v>6.1</v>
      </c>
      <c r="C15" s="15">
        <f>'3_전처리_정규화'!C19</f>
        <v>38.1</v>
      </c>
      <c r="D15" s="16">
        <f>'3_전처리_정규화'!D19</f>
        <v>0.57142857142857051</v>
      </c>
      <c r="E15" s="16">
        <f>'3_전처리_정규화'!E19</f>
        <v>0.26829268292682951</v>
      </c>
      <c r="F15" s="13"/>
      <c r="G15" s="13"/>
    </row>
    <row r="16" spans="1:7" ht="27" customHeight="1">
      <c r="A16" s="17" t="str">
        <f>'3_전처리_정규화'!A20</f>
        <v>전북</v>
      </c>
      <c r="B16" s="17">
        <f>'3_전처리_정규화'!B20</f>
        <v>6.1</v>
      </c>
      <c r="C16" s="17">
        <f>'3_전처리_정규화'!C20</f>
        <v>38.200000000000003</v>
      </c>
      <c r="D16" s="18">
        <f>'3_전처리_정규화'!D20</f>
        <v>0.57142857142857051</v>
      </c>
      <c r="E16" s="18">
        <f>'3_전처리_정규화'!E20</f>
        <v>0.2804878048780492</v>
      </c>
      <c r="F16" s="13"/>
      <c r="G16" s="13"/>
    </row>
    <row r="17" spans="1:7" ht="27" customHeight="1">
      <c r="A17" s="15" t="str">
        <f>'3_전처리_정규화'!A21</f>
        <v>전남</v>
      </c>
      <c r="B17" s="15">
        <f>'3_전처리_정규화'!B21</f>
        <v>6.3</v>
      </c>
      <c r="C17" s="15">
        <f>'3_전처리_정규화'!C21</f>
        <v>36.5</v>
      </c>
      <c r="D17" s="16">
        <f>'3_전처리_정규화'!D21</f>
        <v>0.85714285714285643</v>
      </c>
      <c r="E17" s="16">
        <f>'3_전처리_정규화'!E21</f>
        <v>7.3170731707317221E-2</v>
      </c>
      <c r="F17" s="13"/>
      <c r="G17" s="13"/>
    </row>
    <row r="18" spans="1:7" ht="27" customHeight="1">
      <c r="A18" s="17" t="str">
        <f>'3_전처리_정규화'!A22</f>
        <v>경북</v>
      </c>
      <c r="B18" s="17">
        <f>'3_전처리_정규화'!B22</f>
        <v>6.1</v>
      </c>
      <c r="C18" s="17">
        <f>'3_전처리_정규화'!C22</f>
        <v>37.9</v>
      </c>
      <c r="D18" s="18">
        <f>'3_전처리_정규화'!D22</f>
        <v>0.57142857142857051</v>
      </c>
      <c r="E18" s="18">
        <f>'3_전처리_정규화'!E22</f>
        <v>0.24390243902439016</v>
      </c>
      <c r="F18" s="13"/>
      <c r="G18" s="13"/>
    </row>
    <row r="19" spans="1:7" ht="27" customHeight="1">
      <c r="A19" s="15" t="str">
        <f>'3_전처리_정규화'!A23</f>
        <v>경남</v>
      </c>
      <c r="B19" s="15">
        <f>'3_전처리_정규화'!B23</f>
        <v>6</v>
      </c>
      <c r="C19" s="15">
        <f>'3_전처리_정규화'!C23</f>
        <v>38.799999999999997</v>
      </c>
      <c r="D19" s="16">
        <f>'3_전처리_정규화'!D23</f>
        <v>0.42857142857142821</v>
      </c>
      <c r="E19" s="16">
        <f>'3_전처리_정규화'!E23</f>
        <v>0.35365853658536556</v>
      </c>
      <c r="F19" s="13"/>
      <c r="G19" s="13"/>
    </row>
    <row r="20" spans="1:7" ht="27" customHeight="1">
      <c r="A20" s="17" t="str">
        <f>'3_전처리_정규화'!A24</f>
        <v>제주</v>
      </c>
      <c r="B20" s="17">
        <f>'3_전처리_정규화'!B24</f>
        <v>6.4</v>
      </c>
      <c r="C20" s="17">
        <f>'3_전처리_정규화'!C24</f>
        <v>35.9</v>
      </c>
      <c r="D20" s="18">
        <f>'3_전처리_정규화'!D24</f>
        <v>1</v>
      </c>
      <c r="E20" s="18">
        <f>'3_전처리_정규화'!E24</f>
        <v>0</v>
      </c>
      <c r="F20" s="13"/>
      <c r="G20" s="13"/>
    </row>
    <row r="21" spans="1:7" ht="27" customHeight="1">
      <c r="A21" s="15" t="str">
        <f>'3_전처리_정규화'!A25</f>
        <v>세종</v>
      </c>
      <c r="B21" s="15">
        <f>'3_전처리_정규화'!B25</f>
        <v>6.3</v>
      </c>
      <c r="C21" s="15">
        <f>'3_전처리_정규화'!C25</f>
        <v>37.1</v>
      </c>
      <c r="D21" s="16">
        <f>'3_전처리_정규화'!D25</f>
        <v>0.85714285714285643</v>
      </c>
      <c r="E21" s="16">
        <f>'3_전처리_정규화'!E25</f>
        <v>0.14634146341463444</v>
      </c>
      <c r="F21" s="13"/>
      <c r="G21" s="13"/>
    </row>
    <row r="22" spans="1:7" ht="24" customHeight="1">
      <c r="A22" s="13"/>
      <c r="B22" s="13"/>
      <c r="C22" s="13"/>
      <c r="D22" s="13"/>
      <c r="E22" s="13"/>
      <c r="F22" s="13"/>
      <c r="G22" s="13"/>
    </row>
    <row r="23" spans="1:7" ht="24" customHeight="1">
      <c r="A23" s="13"/>
      <c r="B23" s="13"/>
      <c r="C23" s="13"/>
      <c r="D23" s="13"/>
      <c r="E23" s="13"/>
      <c r="F23" s="13"/>
      <c r="G23" s="13"/>
    </row>
    <row r="24" spans="1:7" ht="24" customHeight="1">
      <c r="A24" s="13"/>
      <c r="B24" s="13"/>
      <c r="C24" s="13"/>
      <c r="D24" s="13"/>
      <c r="E24" s="13"/>
      <c r="F24" s="13"/>
      <c r="G24" s="13"/>
    </row>
    <row r="25" spans="1:7" ht="24" customHeight="1">
      <c r="A25" s="13"/>
      <c r="B25" s="13"/>
      <c r="C25" s="13"/>
      <c r="D25" s="13"/>
      <c r="E25" s="13"/>
      <c r="F25" s="13"/>
      <c r="G25" s="13"/>
    </row>
  </sheetData>
  <mergeCells count="2">
    <mergeCell ref="A2:G2"/>
    <mergeCell ref="A1:G1"/>
  </mergeCells>
  <phoneticPr fontId="3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tabSelected="1" zoomScaleNormal="100" workbookViewId="0">
      <selection activeCell="G22" sqref="G22"/>
    </sheetView>
  </sheetViews>
  <sheetFormatPr baseColWidth="10" defaultColWidth="8.6640625" defaultRowHeight="15"/>
  <cols>
    <col min="1" max="1" width="29.6640625" bestFit="1" customWidth="1"/>
    <col min="2" max="2" width="39.5" customWidth="1"/>
    <col min="3" max="3" width="39.6640625" customWidth="1"/>
    <col min="4" max="4" width="18.1640625" customWidth="1"/>
    <col min="5" max="5" width="8.83203125" customWidth="1"/>
    <col min="9" max="9" width="24" customWidth="1"/>
    <col min="10" max="10" width="70.6640625" customWidth="1"/>
  </cols>
  <sheetData>
    <row r="1" spans="1:10" ht="31.5" customHeight="1">
      <c r="A1" s="37" t="s">
        <v>40</v>
      </c>
      <c r="B1" s="38"/>
      <c r="C1" s="38"/>
      <c r="D1" s="38"/>
    </row>
    <row r="2" spans="1:10" ht="21">
      <c r="A2" s="1"/>
      <c r="B2" s="1"/>
      <c r="C2" s="1"/>
      <c r="D2" s="1"/>
      <c r="I2" s="44" t="s">
        <v>59</v>
      </c>
      <c r="J2" s="45"/>
    </row>
    <row r="3" spans="1:10" ht="22">
      <c r="A3" s="21" t="s">
        <v>41</v>
      </c>
      <c r="B3" s="39" t="s">
        <v>42</v>
      </c>
      <c r="C3" s="40"/>
      <c r="D3" s="40"/>
      <c r="I3" s="24" t="s">
        <v>60</v>
      </c>
      <c r="J3" s="24" t="s">
        <v>61</v>
      </c>
    </row>
    <row r="4" spans="1:10" ht="22">
      <c r="A4" s="21" t="s">
        <v>43</v>
      </c>
      <c r="B4" s="39" t="s">
        <v>79</v>
      </c>
      <c r="C4" s="40"/>
      <c r="D4" s="40"/>
      <c r="I4" s="25" t="s">
        <v>62</v>
      </c>
      <c r="J4" s="26" t="s">
        <v>63</v>
      </c>
    </row>
    <row r="5" spans="1:10" ht="22">
      <c r="A5" s="21" t="s">
        <v>44</v>
      </c>
      <c r="B5" s="42" t="s">
        <v>45</v>
      </c>
      <c r="C5" s="40"/>
      <c r="D5" s="40"/>
      <c r="I5" s="27" t="s">
        <v>64</v>
      </c>
      <c r="J5" s="28" t="s">
        <v>65</v>
      </c>
    </row>
    <row r="6" spans="1:10" ht="22">
      <c r="A6" s="21" t="s">
        <v>46</v>
      </c>
      <c r="B6" s="42" t="s">
        <v>80</v>
      </c>
      <c r="C6" s="40"/>
      <c r="D6" s="40"/>
      <c r="I6" s="29" t="s">
        <v>66</v>
      </c>
      <c r="J6" s="30" t="s">
        <v>67</v>
      </c>
    </row>
    <row r="7" spans="1:10" ht="21">
      <c r="A7" s="1"/>
      <c r="B7" s="1"/>
      <c r="C7" s="1"/>
      <c r="D7" s="1"/>
      <c r="I7" s="31" t="s">
        <v>68</v>
      </c>
      <c r="J7" s="32" t="s">
        <v>69</v>
      </c>
    </row>
    <row r="8" spans="1:10" ht="21">
      <c r="A8" s="37" t="s">
        <v>47</v>
      </c>
      <c r="B8" s="38"/>
      <c r="C8" s="38"/>
      <c r="D8" s="38"/>
      <c r="I8" s="33" t="s">
        <v>70</v>
      </c>
      <c r="J8" s="34" t="s">
        <v>71</v>
      </c>
    </row>
    <row r="9" spans="1:10" ht="22">
      <c r="A9" s="21" t="s">
        <v>5</v>
      </c>
      <c r="B9" s="21" t="s">
        <v>38</v>
      </c>
      <c r="C9" s="21" t="s">
        <v>39</v>
      </c>
      <c r="D9" s="1"/>
      <c r="I9" s="23"/>
      <c r="J9" s="23"/>
    </row>
    <row r="10" spans="1:10" ht="22">
      <c r="A10" s="5" t="s">
        <v>7</v>
      </c>
      <c r="B10" s="19">
        <f>'3_전처리_정규화'!D9</f>
        <v>0</v>
      </c>
      <c r="C10" s="19">
        <f>'3_전처리_정규화'!E9</f>
        <v>1</v>
      </c>
      <c r="D10" s="1"/>
      <c r="I10" s="46" t="s">
        <v>72</v>
      </c>
      <c r="J10" s="45"/>
    </row>
    <row r="11" spans="1:10" ht="22">
      <c r="A11" s="12" t="s">
        <v>8</v>
      </c>
      <c r="B11" s="19">
        <f>'3_전처리_정규화'!D10</f>
        <v>0.28571428571428592</v>
      </c>
      <c r="C11" s="19">
        <f>'3_전처리_정규화'!E10</f>
        <v>0.64634146341463439</v>
      </c>
      <c r="D11" s="1"/>
      <c r="I11" s="35" t="s">
        <v>73</v>
      </c>
      <c r="J11" s="36" t="s">
        <v>74</v>
      </c>
    </row>
    <row r="12" spans="1:10" ht="22">
      <c r="A12" s="5" t="s">
        <v>9</v>
      </c>
      <c r="B12" s="19">
        <f>'3_전처리_정규화'!D11</f>
        <v>0.28571428571428592</v>
      </c>
      <c r="C12" s="19">
        <f>'3_전처리_정규화'!E11</f>
        <v>0.71951219512195075</v>
      </c>
      <c r="D12" s="1"/>
      <c r="I12" s="35" t="s">
        <v>75</v>
      </c>
      <c r="J12" s="36" t="s">
        <v>76</v>
      </c>
    </row>
    <row r="13" spans="1:10" ht="22">
      <c r="A13" s="12" t="s">
        <v>10</v>
      </c>
      <c r="B13" s="19">
        <f>'3_전처리_정규화'!D12</f>
        <v>0.14285714285714232</v>
      </c>
      <c r="C13" s="19">
        <f>'3_전처리_정규화'!E12</f>
        <v>0.92682926829268275</v>
      </c>
      <c r="D13" s="1"/>
      <c r="I13" s="35" t="s">
        <v>77</v>
      </c>
      <c r="J13" s="36" t="s">
        <v>78</v>
      </c>
    </row>
    <row r="14" spans="1:10" ht="22">
      <c r="A14" s="5" t="s">
        <v>11</v>
      </c>
      <c r="B14" s="19">
        <f>'3_전처리_정규화'!D13</f>
        <v>0.57142857142857051</v>
      </c>
      <c r="C14" s="19">
        <f>'3_전처리_정규화'!E13</f>
        <v>0.46341463414634182</v>
      </c>
      <c r="D14" s="1"/>
    </row>
    <row r="15" spans="1:10" ht="22">
      <c r="A15" s="12" t="s">
        <v>12</v>
      </c>
      <c r="B15" s="19">
        <f>'3_전처리_정규화'!D14</f>
        <v>0.42857142857142821</v>
      </c>
      <c r="C15" s="19">
        <f>'3_전처리_정규화'!E14</f>
        <v>0.52439024390243938</v>
      </c>
      <c r="D15" s="1"/>
    </row>
    <row r="16" spans="1:10" ht="22">
      <c r="A16" s="5" t="s">
        <v>13</v>
      </c>
      <c r="B16" s="19">
        <f>'3_전처리_정규화'!D15</f>
        <v>0.42857142857142821</v>
      </c>
      <c r="C16" s="19">
        <f>'3_전처리_정규화'!E15</f>
        <v>0.47560975609756062</v>
      </c>
      <c r="D16" s="1"/>
    </row>
    <row r="17" spans="1:4" ht="22">
      <c r="A17" s="12" t="s">
        <v>14</v>
      </c>
      <c r="B17" s="19">
        <f>'3_전처리_정규화'!D16</f>
        <v>0.14285714285714232</v>
      </c>
      <c r="C17" s="19">
        <f>'3_전처리_정규화'!E16</f>
        <v>0.86585365853658525</v>
      </c>
      <c r="D17" s="1"/>
    </row>
    <row r="18" spans="1:4" ht="22">
      <c r="A18" s="5" t="s">
        <v>15</v>
      </c>
      <c r="B18" s="19">
        <f>'3_전처리_정규화'!D17</f>
        <v>0.71428571428571408</v>
      </c>
      <c r="C18" s="19">
        <f>'3_전처리_정규화'!E17</f>
        <v>0.18292682926829262</v>
      </c>
      <c r="D18" s="1"/>
    </row>
    <row r="19" spans="1:4" ht="22">
      <c r="A19" s="12" t="s">
        <v>16</v>
      </c>
      <c r="B19" s="19">
        <f>'3_전처리_정규화'!D18</f>
        <v>0.57142857142857051</v>
      </c>
      <c r="C19" s="19">
        <f>'3_전처리_정규화'!E18</f>
        <v>0.32926829268292707</v>
      </c>
      <c r="D19" s="1"/>
    </row>
    <row r="20" spans="1:4" ht="22">
      <c r="A20" s="5" t="s">
        <v>17</v>
      </c>
      <c r="B20" s="19">
        <f>'3_전처리_정규화'!D19</f>
        <v>0.57142857142857051</v>
      </c>
      <c r="C20" s="19">
        <f>'3_전처리_정규화'!E19</f>
        <v>0.26829268292682951</v>
      </c>
      <c r="D20" s="1"/>
    </row>
    <row r="21" spans="1:4" ht="22">
      <c r="A21" s="12" t="s">
        <v>18</v>
      </c>
      <c r="B21" s="19">
        <f>'3_전처리_정규화'!D20</f>
        <v>0.57142857142857051</v>
      </c>
      <c r="C21" s="19">
        <f>'3_전처리_정규화'!E20</f>
        <v>0.2804878048780492</v>
      </c>
      <c r="D21" s="1"/>
    </row>
    <row r="22" spans="1:4" ht="22">
      <c r="A22" s="5" t="s">
        <v>19</v>
      </c>
      <c r="B22" s="19">
        <f>'3_전처리_정규화'!D21</f>
        <v>0.85714285714285643</v>
      </c>
      <c r="C22" s="19">
        <f>'3_전처리_정규화'!E21</f>
        <v>7.3170731707317221E-2</v>
      </c>
      <c r="D22" s="1"/>
    </row>
    <row r="23" spans="1:4" ht="22">
      <c r="A23" s="12" t="s">
        <v>20</v>
      </c>
      <c r="B23" s="19">
        <f>'3_전처리_정규화'!D22</f>
        <v>0.57142857142857051</v>
      </c>
      <c r="C23" s="19">
        <f>'3_전처리_정규화'!E22</f>
        <v>0.24390243902439016</v>
      </c>
      <c r="D23" s="1"/>
    </row>
    <row r="24" spans="1:4" ht="22">
      <c r="A24" s="5" t="s">
        <v>21</v>
      </c>
      <c r="B24" s="19">
        <f>'3_전처리_정규화'!D23</f>
        <v>0.42857142857142821</v>
      </c>
      <c r="C24" s="19">
        <f>'3_전처리_정규화'!E23</f>
        <v>0.35365853658536556</v>
      </c>
      <c r="D24" s="1"/>
    </row>
    <row r="25" spans="1:4" ht="22">
      <c r="A25" s="12" t="s">
        <v>22</v>
      </c>
      <c r="B25" s="19">
        <f>'3_전처리_정규화'!D24</f>
        <v>1</v>
      </c>
      <c r="C25" s="19">
        <f>'3_전처리_정규화'!E24</f>
        <v>0</v>
      </c>
      <c r="D25" s="1"/>
    </row>
    <row r="26" spans="1:4" ht="22">
      <c r="A26" s="5" t="s">
        <v>23</v>
      </c>
      <c r="B26" s="19">
        <f>'3_전처리_정규화'!D25</f>
        <v>0.85714285714285643</v>
      </c>
      <c r="C26" s="19">
        <f>'3_전처리_정규화'!E25</f>
        <v>0.14634146341463444</v>
      </c>
      <c r="D26" s="1"/>
    </row>
    <row r="27" spans="1:4" ht="21">
      <c r="A27" s="1"/>
      <c r="B27" s="1"/>
      <c r="C27" s="1"/>
      <c r="D27" s="1"/>
    </row>
    <row r="28" spans="1:4" ht="25.5" customHeight="1">
      <c r="A28" s="37" t="s">
        <v>48</v>
      </c>
      <c r="B28" s="38"/>
      <c r="C28" s="38"/>
      <c r="D28" s="38"/>
    </row>
    <row r="29" spans="1:4" ht="29" customHeight="1">
      <c r="A29" s="22" t="s">
        <v>83</v>
      </c>
      <c r="B29" s="62">
        <f xml:space="preserve"> CORREL(B10:B26,C10:C26)</f>
        <v>-0.96364820798915629</v>
      </c>
      <c r="C29" s="63"/>
      <c r="D29" s="1"/>
    </row>
    <row r="30" spans="1:4" ht="21">
      <c r="A30" s="1"/>
      <c r="B30" s="1"/>
      <c r="C30" s="1"/>
      <c r="D30" s="1"/>
    </row>
    <row r="31" spans="1:4" ht="24" customHeight="1">
      <c r="A31" s="37" t="s">
        <v>49</v>
      </c>
      <c r="B31" s="38"/>
      <c r="C31" s="38"/>
      <c r="D31" s="38"/>
    </row>
    <row r="32" spans="1:4" ht="24" customHeight="1">
      <c r="A32" s="22" t="s">
        <v>50</v>
      </c>
      <c r="B32" s="41" t="s">
        <v>51</v>
      </c>
      <c r="C32" s="40"/>
      <c r="D32" s="40"/>
    </row>
    <row r="33" spans="1:4" ht="24" customHeight="1">
      <c r="A33" s="22" t="s">
        <v>52</v>
      </c>
      <c r="B33" s="43"/>
      <c r="C33" s="40"/>
      <c r="D33" s="40"/>
    </row>
    <row r="34" spans="1:4" ht="24" customHeight="1">
      <c r="A34" s="22" t="s">
        <v>53</v>
      </c>
      <c r="B34" s="41" t="s">
        <v>54</v>
      </c>
      <c r="C34" s="40"/>
      <c r="D34" s="40"/>
    </row>
    <row r="35" spans="1:4" ht="24" customHeight="1">
      <c r="A35" s="22" t="s">
        <v>55</v>
      </c>
      <c r="B35" s="41" t="s">
        <v>56</v>
      </c>
      <c r="C35" s="40"/>
      <c r="D35" s="40"/>
    </row>
    <row r="36" spans="1:4" ht="24" customHeight="1">
      <c r="A36" s="22" t="s">
        <v>57</v>
      </c>
      <c r="B36" s="41" t="s">
        <v>58</v>
      </c>
      <c r="C36" s="40"/>
      <c r="D36" s="40"/>
    </row>
  </sheetData>
  <mergeCells count="16">
    <mergeCell ref="I2:J2"/>
    <mergeCell ref="I10:J10"/>
    <mergeCell ref="A28:D28"/>
    <mergeCell ref="B6:D6"/>
    <mergeCell ref="B36:D36"/>
    <mergeCell ref="B32:D32"/>
    <mergeCell ref="B29:C29"/>
    <mergeCell ref="A1:D1"/>
    <mergeCell ref="B3:D3"/>
    <mergeCell ref="B34:D34"/>
    <mergeCell ref="B35:D35"/>
    <mergeCell ref="A8:D8"/>
    <mergeCell ref="B5:D5"/>
    <mergeCell ref="B33:D33"/>
    <mergeCell ref="B4:D4"/>
    <mergeCell ref="A31:D31"/>
  </mergeCells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1_수면시간데이터</vt:lpstr>
      <vt:lpstr>2_학업스트레스데이터</vt:lpstr>
      <vt:lpstr>3_전처리_정규화</vt:lpstr>
      <vt:lpstr>4_꺾은선차트_시각화</vt:lpstr>
      <vt:lpstr>5_상관분석_상관계수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정보 나진환</cp:lastModifiedBy>
  <cp:revision>1</cp:revision>
  <dcterms:created xsi:type="dcterms:W3CDTF">2026-06-10T13:44:38Z</dcterms:created>
  <dcterms:modified xsi:type="dcterms:W3CDTF">2026-06-19T04:40:21Z</dcterms:modified>
  <dc:language>en-US</dc:language>
</cp:coreProperties>
</file>